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ebe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1" fontId="2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2" fontId="2" fillId="3" borderId="0" pivotButton="0" quotePrefix="0" xfId="0"/>
    <xf numFmtId="166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55" customWidth="1" min="8" max="8"/>
  </cols>
  <sheetData>
    <row r="1" ht="32" customHeight="1">
      <c r="A1" s="1" t="inlineStr">
        <is>
          <t>Querschnitt</t>
        </is>
      </c>
      <c r="B1" s="1" t="inlineStr">
        <is>
          <t>Anzahl Staebe</t>
        </is>
      </c>
      <c r="C1" s="1" t="inlineStr">
        <is>
          <t>Querschnittsflaeche [mm2]</t>
        </is>
      </c>
      <c r="D1" s="1" t="inlineStr">
        <is>
          <t>Querschnittsflaeche [m2]</t>
        </is>
      </c>
      <c r="E1" s="1" t="inlineStr">
        <is>
          <t>Summe Achsenlaenge [m]</t>
        </is>
      </c>
      <c r="F1" s="1" t="inlineStr">
        <is>
          <t>Volumen gesamt [m3]</t>
        </is>
      </c>
      <c r="G1" s="1" t="inlineStr">
        <is>
          <t>Volumen je Stab [m3]</t>
        </is>
      </c>
      <c r="H1" s="1" t="inlineStr">
        <is>
          <t>Hinweis</t>
        </is>
      </c>
    </row>
    <row r="2">
      <c r="A2" t="inlineStr">
        <is>
          <t>Rectangle 500/500</t>
        </is>
      </c>
      <c r="B2" s="2" t="n">
        <v>47</v>
      </c>
      <c r="C2" s="3" t="n">
        <v>250000</v>
      </c>
      <c r="D2" s="4">
        <f>C2/1000000</f>
        <v/>
      </c>
      <c r="E2" s="5" t="n">
        <v>47.023</v>
      </c>
      <c r="F2" s="6" t="n">
        <v>11.73823</v>
      </c>
      <c r="G2" s="4">
        <f>F2/B2</f>
        <v/>
      </c>
      <c r="H2" t="inlineStr">
        <is>
          <t>Volumenkoerper</t>
        </is>
      </c>
    </row>
    <row r="3">
      <c r="A3" t="inlineStr">
        <is>
          <t>RO 139.7x8.0 | EN 10210-2:2006</t>
        </is>
      </c>
      <c r="B3" s="2" t="n">
        <v>12</v>
      </c>
      <c r="C3" s="3" t="n">
        <v>3310</v>
      </c>
      <c r="D3" s="4">
        <f>C3/1000000</f>
        <v/>
      </c>
      <c r="E3" s="5" t="n">
        <v>41.07</v>
      </c>
      <c r="F3" s="6" t="n">
        <v>0.62946</v>
      </c>
      <c r="G3" s="4">
        <f>F3/B3</f>
        <v/>
      </c>
      <c r="H3" t="inlineStr">
        <is>
          <t>Im Modell massiver Zylinder (Volumen = Vollquerschnitt)</t>
        </is>
      </c>
    </row>
    <row r="4">
      <c r="A4" t="inlineStr">
        <is>
          <t>Flat Bar 275/20</t>
        </is>
      </c>
      <c r="B4" s="2" t="n">
        <v>41</v>
      </c>
      <c r="C4" s="3" t="n">
        <v>5500</v>
      </c>
      <c r="D4" s="4">
        <f>C4/1000000</f>
        <v/>
      </c>
      <c r="E4" s="5" t="n">
        <v>26.454</v>
      </c>
      <c r="F4" s="6" t="n">
        <v>0.13275</v>
      </c>
      <c r="G4" s="4">
        <f>F4/B4</f>
        <v/>
      </c>
      <c r="H4" t="inlineStr">
        <is>
          <t>Volumenkoerper</t>
        </is>
      </c>
    </row>
    <row r="5">
      <c r="A5" t="inlineStr">
        <is>
          <t>Flat Bar 275/12</t>
        </is>
      </c>
      <c r="B5" s="2" t="n">
        <v>70</v>
      </c>
      <c r="C5" s="3" t="n">
        <v>3300</v>
      </c>
      <c r="D5" s="4">
        <f>C5/1000000</f>
        <v/>
      </c>
      <c r="E5" s="5" t="n">
        <v>42.638</v>
      </c>
      <c r="F5" s="6" t="n">
        <v>0.12853</v>
      </c>
      <c r="G5" s="4">
        <f>F5/B5</f>
        <v/>
      </c>
      <c r="H5" t="inlineStr">
        <is>
          <t>Volumenkoerper</t>
        </is>
      </c>
    </row>
    <row r="6">
      <c r="A6" t="inlineStr">
        <is>
          <t>Flat Bar 225/20</t>
        </is>
      </c>
      <c r="B6" s="2" t="n">
        <v>23</v>
      </c>
      <c r="C6" s="3" t="n">
        <v>4500</v>
      </c>
      <c r="D6" s="4">
        <f>C6/1000000</f>
        <v/>
      </c>
      <c r="E6" s="5" t="n">
        <v>19.443</v>
      </c>
      <c r="F6" s="6" t="n">
        <v>0.07747999999999999</v>
      </c>
      <c r="G6" s="4">
        <f>F6/B6</f>
        <v/>
      </c>
      <c r="H6" t="inlineStr">
        <is>
          <t>Volumenkoerper</t>
        </is>
      </c>
    </row>
    <row r="7">
      <c r="A7" t="inlineStr">
        <is>
          <t>Flat Bar 225/12</t>
        </is>
      </c>
      <c r="B7" s="2" t="n">
        <v>35</v>
      </c>
      <c r="C7" s="3" t="n">
        <v>2700</v>
      </c>
      <c r="D7" s="4">
        <f>C7/1000000</f>
        <v/>
      </c>
      <c r="E7" s="5" t="n">
        <v>29.587</v>
      </c>
      <c r="F7" s="6" t="n">
        <v>0.07074</v>
      </c>
      <c r="G7" s="4">
        <f>F7/B7</f>
        <v/>
      </c>
      <c r="H7" t="inlineStr">
        <is>
          <t>Volumenkoerper</t>
        </is>
      </c>
    </row>
    <row r="8">
      <c r="A8" t="inlineStr">
        <is>
          <t>Flat Bar 175/20</t>
        </is>
      </c>
      <c r="B8" s="2" t="n">
        <v>23</v>
      </c>
      <c r="C8" s="3" t="n">
        <v>3500</v>
      </c>
      <c r="D8" s="4">
        <f>C8/1000000</f>
        <v/>
      </c>
      <c r="E8" s="5" t="n">
        <v>19.285</v>
      </c>
      <c r="F8" s="6" t="n">
        <v>0.05757</v>
      </c>
      <c r="G8" s="4">
        <f>F8/B8</f>
        <v/>
      </c>
      <c r="H8" t="inlineStr">
        <is>
          <t>Volumenkoerper</t>
        </is>
      </c>
    </row>
    <row r="9">
      <c r="A9" t="inlineStr">
        <is>
          <t>Flat Bar 175/12</t>
        </is>
      </c>
      <c r="B9" s="2" t="n">
        <v>35</v>
      </c>
      <c r="C9" s="3" t="n">
        <v>2100</v>
      </c>
      <c r="D9" s="4">
        <f>C9/1000000</f>
        <v/>
      </c>
      <c r="E9" s="5" t="n">
        <v>29.587</v>
      </c>
      <c r="F9" s="6" t="n">
        <v>0.05299</v>
      </c>
      <c r="G9" s="4">
        <f>F9/B9</f>
        <v/>
      </c>
      <c r="H9" t="inlineStr">
        <is>
          <t>Volumenkoerper</t>
        </is>
      </c>
    </row>
    <row r="10">
      <c r="A10" t="inlineStr">
        <is>
          <t>Flat Bar 237.5/12</t>
        </is>
      </c>
      <c r="B10" s="2" t="n">
        <v>35</v>
      </c>
      <c r="C10" s="3" t="n">
        <v>2850</v>
      </c>
      <c r="D10" s="4">
        <f>C10/1000000</f>
        <v/>
      </c>
      <c r="E10" s="5" t="n">
        <v>13.639</v>
      </c>
      <c r="F10" s="6" t="n">
        <v>0.03568</v>
      </c>
      <c r="G10" s="4">
        <f>F10/B10</f>
        <v/>
      </c>
      <c r="H10" t="inlineStr">
        <is>
          <t>Volumenkoerper</t>
        </is>
      </c>
    </row>
    <row r="11">
      <c r="A11" t="inlineStr">
        <is>
          <t>Flat Bar 237.5/20</t>
        </is>
      </c>
      <c r="B11" s="2" t="n">
        <v>18</v>
      </c>
      <c r="C11" s="3" t="n">
        <v>4750</v>
      </c>
      <c r="D11" s="4">
        <f>C11/1000000</f>
        <v/>
      </c>
      <c r="E11" s="5" t="n">
        <v>7.014</v>
      </c>
      <c r="F11" s="6" t="n">
        <v>0.03058</v>
      </c>
      <c r="G11" s="4">
        <f>F11/B11</f>
        <v/>
      </c>
      <c r="H11" t="inlineStr">
        <is>
          <t>Volumenkoerper</t>
        </is>
      </c>
    </row>
    <row r="12">
      <c r="A12" t="inlineStr">
        <is>
          <t>Flat Bar 200/12</t>
        </is>
      </c>
      <c r="B12" s="2" t="n">
        <v>35</v>
      </c>
      <c r="C12" s="3" t="n">
        <v>2400</v>
      </c>
      <c r="D12" s="4">
        <f>C12/1000000</f>
        <v/>
      </c>
      <c r="E12" s="5" t="n">
        <v>13.649</v>
      </c>
      <c r="F12" s="6" t="n">
        <v>0.02956</v>
      </c>
      <c r="G12" s="4">
        <f>F12/B12</f>
        <v/>
      </c>
      <c r="H12" t="inlineStr">
        <is>
          <t>Volumenkoerper</t>
        </is>
      </c>
    </row>
    <row r="13">
      <c r="A13" t="inlineStr">
        <is>
          <t>Flat Bar 200/20</t>
        </is>
      </c>
      <c r="B13" s="2" t="n">
        <v>18</v>
      </c>
      <c r="C13" s="3" t="n">
        <v>4000</v>
      </c>
      <c r="D13" s="4">
        <f>C13/1000000</f>
        <v/>
      </c>
      <c r="E13" s="5" t="n">
        <v>7.019</v>
      </c>
      <c r="F13" s="6" t="n">
        <v>0.02534</v>
      </c>
      <c r="G13" s="4">
        <f>F13/B13</f>
        <v/>
      </c>
      <c r="H13" t="inlineStr">
        <is>
          <t>Volumenkoerper</t>
        </is>
      </c>
    </row>
    <row r="14">
      <c r="A14" t="inlineStr">
        <is>
          <t>Flat Bar 162.5/12</t>
        </is>
      </c>
      <c r="B14" s="2" t="n">
        <v>35</v>
      </c>
      <c r="C14" s="3" t="n">
        <v>1950</v>
      </c>
      <c r="D14" s="4">
        <f>C14/1000000</f>
        <v/>
      </c>
      <c r="E14" s="5" t="n">
        <v>13.639</v>
      </c>
      <c r="F14" s="6" t="n">
        <v>0.0234</v>
      </c>
      <c r="G14" s="4">
        <f>F14/B14</f>
        <v/>
      </c>
      <c r="H14" t="inlineStr">
        <is>
          <t>Volumenkoerper</t>
        </is>
      </c>
    </row>
    <row r="15">
      <c r="A15" t="inlineStr">
        <is>
          <t>Flat Bar 162.5/20</t>
        </is>
      </c>
      <c r="B15" s="2" t="n">
        <v>18</v>
      </c>
      <c r="C15" s="3" t="n">
        <v>3250</v>
      </c>
      <c r="D15" s="4">
        <f>C15/1000000</f>
        <v/>
      </c>
      <c r="E15" s="5" t="n">
        <v>6.842</v>
      </c>
      <c r="F15" s="6" t="n">
        <v>0.01957</v>
      </c>
      <c r="G15" s="4">
        <f>F15/B15</f>
        <v/>
      </c>
      <c r="H15" t="inlineStr">
        <is>
          <t>Volumenkoerper</t>
        </is>
      </c>
    </row>
    <row r="16">
      <c r="A16" t="inlineStr">
        <is>
          <t>Flat Bar 33.3/20</t>
        </is>
      </c>
      <c r="B16" s="2" t="n">
        <v>116</v>
      </c>
      <c r="C16" s="3" t="n">
        <v>666</v>
      </c>
      <c r="D16" s="4">
        <f>C16/1000000</f>
        <v/>
      </c>
      <c r="E16" s="5" t="n">
        <v>2.32</v>
      </c>
      <c r="F16" s="6" t="n">
        <v>0.00151</v>
      </c>
      <c r="G16" s="4">
        <f>F16/B16</f>
        <v/>
      </c>
      <c r="H16" t="inlineStr">
        <is>
          <t>Volumenkoerper</t>
        </is>
      </c>
    </row>
    <row r="17">
      <c r="A17" t="inlineStr">
        <is>
          <t>RD 12 (Rundstab)</t>
        </is>
      </c>
      <c r="B17" s="2" t="n">
        <v>175</v>
      </c>
      <c r="C17" s="3" t="n">
        <v>113.1</v>
      </c>
      <c r="D17" s="4">
        <f>C17/1000000</f>
        <v/>
      </c>
      <c r="E17" s="5" t="n">
        <v>367.168</v>
      </c>
      <c r="F17" s="6" t="n">
        <v>0.04152572249159726</v>
      </c>
      <c r="G17" s="4">
        <f>F17/B17</f>
        <v/>
      </c>
      <c r="H17" t="inlineStr">
        <is>
          <t>Nur Achslinien im Modell; Volumen = A x L berechnet</t>
        </is>
      </c>
    </row>
    <row r="18">
      <c r="A18" s="7" t="inlineStr">
        <is>
          <t>SUMME</t>
        </is>
      </c>
      <c r="B18" s="8">
        <f>SUM(B2:B17)</f>
        <v/>
      </c>
      <c r="C18" s="9" t="n"/>
      <c r="D18" s="10" t="n"/>
      <c r="E18" s="11">
        <f>SUM(E2:E17)</f>
        <v/>
      </c>
      <c r="F18" s="12">
        <f>SUM(F2:F17)</f>
        <v/>
      </c>
      <c r="G18" s="10" t="n"/>
      <c r="H18" s="7" t="inlineStr">
        <is>
          <t>Summe inkl. berechnetem Volumen RD 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Quelle: Data/Stockerau Rhino Export from RFEM.3dm (Einheit: Meter)</t>
        </is>
      </c>
    </row>
    <row r="2">
      <c r="A2" t="inlineStr">
        <is>
          <t>Layer: 2__B+G::03_3D::RFEM_Export_260915::Members bzw. ::MemberAxes</t>
        </is>
      </c>
    </row>
    <row r="3">
      <c r="A3" t="inlineStr">
        <is>
          <t>Stabanzahl: 561 Volumenkoerper (Brep) + 175 RD-12-Achslinien = 736 Staebe</t>
        </is>
      </c>
    </row>
    <row r="4">
      <c r="A4" t="inlineStr">
        <is>
          <t>Querschnittsflaeche = nominal aus Profilbezeichnung (Flachstahl: Hoehe x Dicke).</t>
        </is>
      </c>
    </row>
    <row r="5">
      <c r="A5" t="inlineStr">
        <is>
          <t>Modellierte Flachstahl-Koerper sind teils kleiner (variable Hoehe), Volumen stammt aus der Geometrie.</t>
        </is>
      </c>
    </row>
    <row r="6">
      <c r="A6" t="inlineStr">
        <is>
          <t>RO 139.7x8.0: Flaeche als Rohrquerschnitt; im Modell aber massiv -&gt; Volumen entspricht Vollzylinder.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2026-10-19T11:38:13Z</dcterms:created>
  <dcterms:modified xsi:type="dcterms:W3CDTF">2026-10-19T11:38:13Z</dcterms:modified>
</cp:coreProperties>
</file>